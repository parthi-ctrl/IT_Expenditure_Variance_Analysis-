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rthiban\Downloads\"/>
    </mc:Choice>
  </mc:AlternateContent>
  <xr:revisionPtr revIDLastSave="0" documentId="13_ncr:1_{2AD9CFF3-7C8F-4682-8F14-A19A4966CE7A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Variance_by_Month_Business" sheetId="1" r:id="rId1"/>
    <sheet name="Variance_by_Country" sheetId="2" r:id="rId2"/>
    <sheet name="Variance_by_Cost_Element_Group" sheetId="3" r:id="rId3"/>
    <sheet name="Variance_by_IT_Area" sheetId="4" r:id="rId4"/>
  </sheets>
  <calcPr calcId="0"/>
  <pivotCaches>
    <pivotCache cacheId="0" r:id="rId5"/>
    <pivotCache cacheId="1" r:id="rId6"/>
    <pivotCache cacheId="2" r:id="rId7"/>
  </pivotCaches>
</workbook>
</file>

<file path=xl/sharedStrings.xml><?xml version="1.0" encoding="utf-8"?>
<sst xmlns="http://schemas.openxmlformats.org/spreadsheetml/2006/main" count="176" uniqueCount="51">
  <si>
    <t>Date</t>
  </si>
  <si>
    <t>Business_Area</t>
  </si>
  <si>
    <t>Actual_vs_Forecast_Variance</t>
  </si>
  <si>
    <t>Actual_vs_Plan_Variance</t>
  </si>
  <si>
    <t>Forecast_vs_Plan_Variance</t>
  </si>
  <si>
    <t>BU</t>
  </si>
  <si>
    <t>Distribution</t>
  </si>
  <si>
    <t>Infrastructure</t>
  </si>
  <si>
    <t>Manufacturing</t>
  </si>
  <si>
    <t>Office &amp; Administrative</t>
  </si>
  <si>
    <t>R&amp;D</t>
  </si>
  <si>
    <t>Services</t>
  </si>
  <si>
    <t>Country</t>
  </si>
  <si>
    <t>Austria</t>
  </si>
  <si>
    <t>Belgium</t>
  </si>
  <si>
    <t>Brazil</t>
  </si>
  <si>
    <t>Canada</t>
  </si>
  <si>
    <t>China</t>
  </si>
  <si>
    <t>Czech Republic</t>
  </si>
  <si>
    <t>France</t>
  </si>
  <si>
    <t>Germany</t>
  </si>
  <si>
    <t>Hungary</t>
  </si>
  <si>
    <t>Ireland</t>
  </si>
  <si>
    <t>Israel</t>
  </si>
  <si>
    <t>Italy</t>
  </si>
  <si>
    <t>Japan</t>
  </si>
  <si>
    <t>Mexico</t>
  </si>
  <si>
    <t>Netherlands</t>
  </si>
  <si>
    <t>New Zealand</t>
  </si>
  <si>
    <t>Puerto Rico</t>
  </si>
  <si>
    <t>Slovakia</t>
  </si>
  <si>
    <t>Spain</t>
  </si>
  <si>
    <t>Switzerland</t>
  </si>
  <si>
    <t>Turkey</t>
  </si>
  <si>
    <t>USA</t>
  </si>
  <si>
    <t>United Kingdom</t>
  </si>
  <si>
    <t>Cost_Element_Group</t>
  </si>
  <si>
    <t>Depr &amp; Amort</t>
  </si>
  <si>
    <t>Hardware &amp; Software</t>
  </si>
  <si>
    <t>Labor</t>
  </si>
  <si>
    <t>Other</t>
  </si>
  <si>
    <t>Shared Services</t>
  </si>
  <si>
    <t>IT_Area</t>
  </si>
  <si>
    <t>BU Support</t>
  </si>
  <si>
    <t>Enablement</t>
  </si>
  <si>
    <t>Functional</t>
  </si>
  <si>
    <t>Governance</t>
  </si>
  <si>
    <t>Sum of Actual_vs_Plan_Variance</t>
  </si>
  <si>
    <t>Grand Total</t>
  </si>
  <si>
    <t xml:space="preserve">Cost Element Group </t>
  </si>
  <si>
    <t>IT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</si>
</sst>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5">
    <dxf>
      <alignment wrapText="0"/>
    </dxf>
    <dxf>
      <alignment wrapText="0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gapWidth val="219"/>
        <c:secondPieSize val="75"/>
        <c:ser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[IT_Expenditure_Variance_Analysis (1).xlsx]Variance_by_Country!PivotTable6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Actual_vs_Plan_Variance by Country</a:t>
            </a:r>
          </a:p>
        </c:rich>
      </c:tx>
      <c:layout>
        <c:manualLayout>
          <c:xMode val="edge"/>
          <c:yMode val="edge"/>
          <c:x val="0.38051243271593632"/>
          <c:y val="7.6451742464576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Variance_by_Country!$E$30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Variance_by_Country!$D$31:$D$54</c:f>
              <c:strCache>
                <c:ptCount val="23"/>
                <c:pt idx="0">
                  <c:v>Austria</c:v>
                </c:pt>
                <c:pt idx="1">
                  <c:v>Belgium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Czech Republic</c:v>
                </c:pt>
                <c:pt idx="6">
                  <c:v>France</c:v>
                </c:pt>
                <c:pt idx="7">
                  <c:v>Germany</c:v>
                </c:pt>
                <c:pt idx="8">
                  <c:v>Hungary</c:v>
                </c:pt>
                <c:pt idx="9">
                  <c:v>Ireland</c:v>
                </c:pt>
                <c:pt idx="10">
                  <c:v>Israel</c:v>
                </c:pt>
                <c:pt idx="11">
                  <c:v>Italy</c:v>
                </c:pt>
                <c:pt idx="12">
                  <c:v>Japan</c:v>
                </c:pt>
                <c:pt idx="13">
                  <c:v>Mexico</c:v>
                </c:pt>
                <c:pt idx="14">
                  <c:v>Netherlands</c:v>
                </c:pt>
                <c:pt idx="15">
                  <c:v>New Zealand</c:v>
                </c:pt>
                <c:pt idx="16">
                  <c:v>Puerto Rico</c:v>
                </c:pt>
                <c:pt idx="17">
                  <c:v>Slovakia</c:v>
                </c:pt>
                <c:pt idx="18">
                  <c:v>Spain</c:v>
                </c:pt>
                <c:pt idx="19">
                  <c:v>Switzerland</c:v>
                </c:pt>
                <c:pt idx="20">
                  <c:v>Turkey</c:v>
                </c:pt>
                <c:pt idx="21">
                  <c:v>United Kingdom</c:v>
                </c:pt>
                <c:pt idx="22">
                  <c:v>USA</c:v>
                </c:pt>
              </c:strCache>
            </c:strRef>
          </c:cat>
          <c:val>
            <c:numRef>
              <c:f>Variance_by_Country!$E$31:$E$54</c:f>
              <c:numCache>
                <c:formatCode>General</c:formatCode>
                <c:ptCount val="23"/>
                <c:pt idx="0">
                  <c:v>-659928.65999999992</c:v>
                </c:pt>
                <c:pt idx="1">
                  <c:v>-2213602.0699999998</c:v>
                </c:pt>
                <c:pt idx="2">
                  <c:v>-3769664.98</c:v>
                </c:pt>
                <c:pt idx="3">
                  <c:v>-1703944.47</c:v>
                </c:pt>
                <c:pt idx="4">
                  <c:v>0</c:v>
                </c:pt>
                <c:pt idx="5">
                  <c:v>131471.44</c:v>
                </c:pt>
                <c:pt idx="6">
                  <c:v>-7402057.25</c:v>
                </c:pt>
                <c:pt idx="7">
                  <c:v>-1233694.73</c:v>
                </c:pt>
                <c:pt idx="8">
                  <c:v>107553.39</c:v>
                </c:pt>
                <c:pt idx="9">
                  <c:v>-3697588.64</c:v>
                </c:pt>
                <c:pt idx="10">
                  <c:v>20046.16</c:v>
                </c:pt>
                <c:pt idx="11">
                  <c:v>-4720685.49</c:v>
                </c:pt>
                <c:pt idx="12">
                  <c:v>0</c:v>
                </c:pt>
                <c:pt idx="13">
                  <c:v>-2239682.39</c:v>
                </c:pt>
                <c:pt idx="14">
                  <c:v>-439825.54</c:v>
                </c:pt>
                <c:pt idx="15">
                  <c:v>-2954182.3</c:v>
                </c:pt>
                <c:pt idx="16">
                  <c:v>-3427194.21</c:v>
                </c:pt>
                <c:pt idx="17">
                  <c:v>1918.17</c:v>
                </c:pt>
                <c:pt idx="18">
                  <c:v>33122.930000000058</c:v>
                </c:pt>
                <c:pt idx="19">
                  <c:v>-603281.47</c:v>
                </c:pt>
                <c:pt idx="20">
                  <c:v>17596.91</c:v>
                </c:pt>
                <c:pt idx="21">
                  <c:v>-13277531.050000001</c:v>
                </c:pt>
                <c:pt idx="22">
                  <c:v>-296640031.97000003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6C8-42EB-9CE5-EE563640B3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8287376"/>
        <c:axId val="478286896"/>
      </c:barChart>
      <c:valAx>
        <c:axId val="478286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7376"/>
        <c:crosses val="autoZero"/>
        <c:crossBetween val="between"/>
      </c:valAx>
      <c:catAx>
        <c:axId val="47828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[IT_Expenditure_Variance_Analysis (1).xlsx]Variance_by_Cost_Element_Group!PivotTable7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Plan Variance by Cost Element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Variance_by_Cost_Element_Group!$E$16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104-460E-9064-723DF45FAA3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104-460E-9064-723DF45FAA3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104-460E-9064-723DF45FAA3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104-460E-9064-723DF45FAA3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104-460E-9064-723DF45FAA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Variance_by_Cost_Element_Group!$D$17:$D$22</c:f>
              <c:strCache>
                <c:ptCount val="5"/>
                <c:pt idx="0">
                  <c:v>Depr &amp; Amort</c:v>
                </c:pt>
                <c:pt idx="1">
                  <c:v>Hardware &amp; Software</c:v>
                </c:pt>
                <c:pt idx="2">
                  <c:v>Labor</c:v>
                </c:pt>
                <c:pt idx="3">
                  <c:v>Other</c:v>
                </c:pt>
                <c:pt idx="4">
                  <c:v>Shared Services</c:v>
                </c:pt>
              </c:strCache>
            </c:strRef>
          </c:cat>
          <c:val>
            <c:numRef>
              <c:f>Variance_by_Cost_Element_Group!$E$17:$E$22</c:f>
              <c:numCache>
                <c:formatCode>General</c:formatCode>
                <c:ptCount val="5"/>
                <c:pt idx="0">
                  <c:v>-83921272.340000004</c:v>
                </c:pt>
                <c:pt idx="1">
                  <c:v>-61806146.009999998</c:v>
                </c:pt>
                <c:pt idx="2">
                  <c:v>-175879038.46000001</c:v>
                </c:pt>
                <c:pt idx="3">
                  <c:v>-20559022.940000001</c:v>
                </c:pt>
                <c:pt idx="4">
                  <c:v>-2505706.4699999969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8-4A3F-8640-8927D1B7764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[IT_Expenditure_Variance_Analysis (1).xlsx]Variance_by_IT_Area!PivotTable8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Plan Variance by IT Area</a:t>
            </a:r>
          </a:p>
        </c:rich>
      </c:tx>
      <c:layout>
        <c:manualLayout>
          <c:xMode val="edge"/>
          <c:yMode val="edge"/>
          <c:x val="0.27108903053784944"/>
          <c:y val="7.8070345176607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</c:pivotFmt>
      <c:pivotFmt>
        <c:idx val="4"/>
        <c:spPr>
          <a:pattFill prst="ltUp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</c:pivotFmt>
      <c:pivotFmt>
        <c:idx val="5"/>
        <c:spPr>
          <a:pattFill prst="ltUp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5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Variance_by_IT_Area!$J$20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5DC-4E87-A6FD-2CC283F4C28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5DC-4E87-A6FD-2CC283F4C28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5DC-4E87-A6FD-2CC283F4C288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5DC-4E87-A6FD-2CC283F4C288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5DC-4E87-A6FD-2CC283F4C2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Variance_by_IT_Area!$I$21:$I$26</c:f>
              <c:strCache>
                <c:ptCount val="5"/>
                <c:pt idx="0">
                  <c:v>BU Support</c:v>
                </c:pt>
                <c:pt idx="1">
                  <c:v>Enablement</c:v>
                </c:pt>
                <c:pt idx="2">
                  <c:v>Functional</c:v>
                </c:pt>
                <c:pt idx="3">
                  <c:v>Governance</c:v>
                </c:pt>
                <c:pt idx="4">
                  <c:v>Infrastructure</c:v>
                </c:pt>
              </c:strCache>
            </c:strRef>
          </c:cat>
          <c:val>
            <c:numRef>
              <c:f>Variance_by_IT_Area!$J$21:$J$26</c:f>
              <c:numCache>
                <c:formatCode>General</c:formatCode>
                <c:ptCount val="5"/>
                <c:pt idx="0">
                  <c:v>-96276631.400000006</c:v>
                </c:pt>
                <c:pt idx="1">
                  <c:v>-22197393.899999999</c:v>
                </c:pt>
                <c:pt idx="2">
                  <c:v>-120388404.78</c:v>
                </c:pt>
                <c:pt idx="3">
                  <c:v>-18895741.530000001</c:v>
                </c:pt>
                <c:pt idx="4">
                  <c:v>-86913014.609999999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8-47CF-982E-814C76052B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22860</xdr:rowOff>
    </xdr:from>
    <xdr:to>
      <xdr:col>16</xdr:col>
      <xdr:colOff>83820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DFDE9-144A-543A-CE9A-F376A9E26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773951</xdr:colOff>
      <xdr:row>28</xdr:row>
      <xdr:rowOff>168442</xdr:rowOff>
    </xdr:from>
    <xdr:to>
      <xdr:col>15</xdr:col>
      <xdr:colOff>642990</xdr:colOff>
      <xdr:row>54</xdr:row>
      <xdr:rowOff>66506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CB8A95-E3A1-88D5-9D7D-175977CD5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33998</xdr:colOff>
      <xdr:row>9</xdr:row>
      <xdr:rowOff>96716</xdr:rowOff>
    </xdr:from>
    <xdr:to>
      <xdr:col>18</xdr:col>
      <xdr:colOff>410308</xdr:colOff>
      <xdr:row>31</xdr:row>
      <xdr:rowOff>89096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37ECD-426C-D138-AEE7-B727244EB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358528</xdr:colOff>
      <xdr:row>12</xdr:row>
      <xdr:rowOff>170609</xdr:rowOff>
    </xdr:from>
    <xdr:to>
      <xdr:col>22</xdr:col>
      <xdr:colOff>255851</xdr:colOff>
      <xdr:row>34</xdr:row>
      <xdr:rowOff>178230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393F7-0B41-DCDA-CFC4-AD0C64CA6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i" refreshedDate="46171.940399189814" createdVersion="8" refreshedVersion="8" minRefreshableVersion="3" recordCount="30" xr:uid="{02EF1D8E-5EEE-41B1-AFEB-1CAA830332DE}">
  <cacheSource type="worksheet">
    <worksheetSource ref="A1:D1048576" sheet="Variance_by_Country"/>
  </cacheSource>
  <cacheFields count="4">
    <cacheField name="Country" numFmtId="0">
      <sharedItems containsBlank="1" count="24">
        <s v="Austria"/>
        <s v="Belgium"/>
        <s v="Brazil"/>
        <s v="Canada"/>
        <s v="China"/>
        <s v="Czech Republic"/>
        <s v="France"/>
        <s v="Germany"/>
        <s v="Hungary"/>
        <s v="Ireland"/>
        <s v="Israel"/>
        <s v="Italy"/>
        <s v="Japan"/>
        <s v="Mexico"/>
        <s v="Netherlands"/>
        <s v="New Zealand"/>
        <s v="Puerto Rico"/>
        <s v="Slovakia"/>
        <s v="Spain"/>
        <s v="Switzerland"/>
        <s v="Turkey"/>
        <s v="USA"/>
        <s v="United Kingdom"/>
        <m/>
      </sharedItems>
    </cacheField>
    <cacheField name="Actual_vs_Forecast_Variance" numFmtId="0">
      <sharedItems containsString="0" containsBlank="1" containsNumber="1" minValue="-279653070.56400001" maxValue="131471.44"/>
    </cacheField>
    <cacheField name="Actual_vs_Plan_Variance" numFmtId="0">
      <sharedItems containsString="0" containsBlank="1" containsNumber="1" minValue="-296640031.97000003" maxValue="131471.44" count="23">
        <n v="-659928.65999999992"/>
        <n v="-2213602.0699999998"/>
        <n v="-3769664.98"/>
        <n v="-1703944.47"/>
        <n v="0"/>
        <n v="131471.44"/>
        <n v="-7402057.25"/>
        <n v="-1233694.73"/>
        <n v="107553.39"/>
        <n v="-3697588.64"/>
        <n v="20046.16"/>
        <n v="-4720685.49"/>
        <n v="-2239682.39"/>
        <n v="-439825.54"/>
        <n v="-2954182.3"/>
        <n v="-3427194.21"/>
        <n v="1918.17"/>
        <n v="33122.930000000058"/>
        <n v="-603281.47"/>
        <n v="17596.91"/>
        <n v="-296640031.97000003"/>
        <n v="-13277531.050000001"/>
        <m/>
      </sharedItems>
    </cacheField>
    <cacheField name="Forecast_vs_Plan_Variance" numFmtId="0">
      <sharedItems containsString="0" containsBlank="1" containsNumber="1" minValue="-16986961.406000011" maxValue="3109620.1458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i" refreshedDate="46171.944124305555" createdVersion="8" refreshedVersion="8" minRefreshableVersion="3" recordCount="6" xr:uid="{F6F650FF-398F-44DF-803F-A79E1B2E0F4C}">
  <cacheSource type="worksheet">
    <worksheetSource ref="A1:D1048576" sheet="Variance_by_Cost_Element_Group"/>
  </cacheSource>
  <cacheFields count="4">
    <cacheField name="Cost_Element_Group" numFmtId="0">
      <sharedItems containsBlank="1" count="6">
        <s v="Depr &amp; Amort"/>
        <s v="Hardware &amp; Software"/>
        <s v="Labor"/>
        <s v="Other"/>
        <s v="Shared Services"/>
        <m/>
      </sharedItems>
    </cacheField>
    <cacheField name="Actual_vs_Forecast_Variance" numFmtId="0">
      <sharedItems containsString="0" containsBlank="1" containsNumber="1" minValue="-184080610.52630001" maxValue="-789299.67139999999"/>
    </cacheField>
    <cacheField name="Actual_vs_Plan_Variance" numFmtId="0">
      <sharedItems containsString="0" containsBlank="1" containsNumber="1" minValue="-175879038.46000001" maxValue="-2505706.4699999969"/>
    </cacheField>
    <cacheField name="Forecast_vs_Plan_Variance" numFmtId="0">
      <sharedItems containsString="0" containsBlank="1" containsNumber="1" minValue="-12794482.090600001" maxValue="8201572.0663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i" refreshedDate="46171.94733599537" createdVersion="8" refreshedVersion="8" minRefreshableVersion="3" recordCount="6" xr:uid="{26A7013B-FBA2-4B1F-988D-050655C7DE1B}">
  <cacheSource type="worksheet">
    <worksheetSource ref="A1:D1048576" sheet="Variance_by_IT_Area"/>
  </cacheSource>
  <cacheFields count="4">
    <cacheField name="IT_Area" numFmtId="0">
      <sharedItems containsBlank="1" count="6">
        <s v="BU Support"/>
        <s v="Enablement"/>
        <s v="Functional"/>
        <s v="Governance"/>
        <s v="Infrastructure"/>
        <m/>
      </sharedItems>
    </cacheField>
    <cacheField name="Actual_vs_Forecast_Variance" numFmtId="0">
      <sharedItems containsString="0" containsBlank="1" containsNumber="1" minValue="-114424347.0314" maxValue="-17608864.479699999"/>
    </cacheField>
    <cacheField name="Actual_vs_Plan_Variance" numFmtId="0">
      <sharedItems containsString="0" containsBlank="1" containsNumber="1" minValue="-120388404.78" maxValue="-18895741.530000001"/>
    </cacheField>
    <cacheField name="Forecast_vs_Plan_Variance" numFmtId="0">
      <sharedItems containsString="0" containsBlank="1" containsNumber="1" minValue="-5964057.7486000024" maxValue="5000163.4072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-661834.174"/>
    <x v="0"/>
    <n v="1905.514000000117"/>
  </r>
  <r>
    <x v="1"/>
    <n v="-2863299.4"/>
    <x v="1"/>
    <n v="649697.33000000019"/>
  </r>
  <r>
    <x v="2"/>
    <n v="-3769664.9815000002"/>
    <x v="2"/>
    <n v="1.499999999396096E-3"/>
  </r>
  <r>
    <x v="3"/>
    <n v="-1706576.8803999999"/>
    <x v="3"/>
    <n v="2632.4104000001348"/>
  </r>
  <r>
    <x v="4"/>
    <n v="-1953754.0887"/>
    <x v="4"/>
    <n v="1953754.0887"/>
  </r>
  <r>
    <x v="5"/>
    <n v="131471.44"/>
    <x v="5"/>
    <n v="0"/>
  </r>
  <r>
    <x v="6"/>
    <n v="-7873639.7160999998"/>
    <x v="6"/>
    <n v="471582.46610000031"/>
  </r>
  <r>
    <x v="7"/>
    <n v="-2177238.9898999999"/>
    <x v="7"/>
    <n v="943544.25989999995"/>
  </r>
  <r>
    <x v="8"/>
    <n v="107553.39"/>
    <x v="8"/>
    <n v="0"/>
  </r>
  <r>
    <x v="9"/>
    <n v="-1499101.2742000001"/>
    <x v="9"/>
    <n v="-2198487.3657999998"/>
  </r>
  <r>
    <x v="10"/>
    <n v="20046.16"/>
    <x v="10"/>
    <n v="0"/>
  </r>
  <r>
    <x v="11"/>
    <n v="-4334402.9781999998"/>
    <x v="11"/>
    <n v="-386282.51180000021"/>
  </r>
  <r>
    <x v="12"/>
    <n v="-1165857.1431"/>
    <x v="4"/>
    <n v="1165857.1431"/>
  </r>
  <r>
    <x v="13"/>
    <n v="-2165669.1773000001"/>
    <x v="12"/>
    <n v="-74013.212699999873"/>
  </r>
  <r>
    <x v="14"/>
    <n v="-222671.94519999999"/>
    <x v="13"/>
    <n v="-217153.59479999999"/>
  </r>
  <r>
    <x v="15"/>
    <n v="-3149292.4567999998"/>
    <x v="14"/>
    <n v="195110.1568000002"/>
  </r>
  <r>
    <x v="16"/>
    <n v="-3515369.9523"/>
    <x v="15"/>
    <n v="88175.742299999954"/>
  </r>
  <r>
    <x v="17"/>
    <n v="1918.17"/>
    <x v="16"/>
    <n v="0"/>
  </r>
  <r>
    <x v="18"/>
    <n v="-1027955.2809"/>
    <x v="17"/>
    <n v="1061078.2109000001"/>
  </r>
  <r>
    <x v="19"/>
    <n v="-963274.81589999993"/>
    <x v="18"/>
    <n v="359993.34590000001"/>
  </r>
  <r>
    <x v="20"/>
    <n v="17596.91"/>
    <x v="19"/>
    <n v="0"/>
  </r>
  <r>
    <x v="21"/>
    <n v="-279653070.56400001"/>
    <x v="20"/>
    <n v="-16986961.406000011"/>
  </r>
  <r>
    <x v="22"/>
    <n v="-16387151.195800001"/>
    <x v="21"/>
    <n v="3109620.145800001"/>
  </r>
  <r>
    <x v="23"/>
    <m/>
    <x v="22"/>
    <m/>
  </r>
  <r>
    <x v="23"/>
    <m/>
    <x v="22"/>
    <m/>
  </r>
  <r>
    <x v="23"/>
    <m/>
    <x v="22"/>
    <m/>
  </r>
  <r>
    <x v="23"/>
    <m/>
    <x v="22"/>
    <m/>
  </r>
  <r>
    <x v="23"/>
    <m/>
    <x v="22"/>
    <m/>
  </r>
  <r>
    <x v="23"/>
    <m/>
    <x v="22"/>
    <m/>
  </r>
  <r>
    <x v="23"/>
    <m/>
    <x v="2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71126790.249400005"/>
    <n v="-83921272.340000004"/>
    <n v="-12794482.090600001"/>
  </r>
  <r>
    <x v="1"/>
    <n v="-52870678.723099999"/>
    <n v="-61806146.009999998"/>
    <n v="-8935467.2869000006"/>
  </r>
  <r>
    <x v="2"/>
    <n v="-184080610.52630001"/>
    <n v="-175879038.46000001"/>
    <n v="8201572.0663000001"/>
  </r>
  <r>
    <x v="3"/>
    <n v="-25943859.774099998"/>
    <n v="-20559022.940000001"/>
    <n v="5384836.8340999996"/>
  </r>
  <r>
    <x v="4"/>
    <n v="-789299.67139999999"/>
    <n v="-2505706.4699999969"/>
    <n v="-1716406.7985999971"/>
  </r>
  <r>
    <x v="5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101276794.8073"/>
    <n v="-96276631.400000006"/>
    <n v="5000163.4072999991"/>
  </r>
  <r>
    <x v="1"/>
    <n v="-17608864.479699999"/>
    <n v="-22197393.899999999"/>
    <n v="-4588529.4203000003"/>
  </r>
  <r>
    <x v="2"/>
    <n v="-114424347.0314"/>
    <n v="-120388404.78"/>
    <n v="-5964057.7486000024"/>
  </r>
  <r>
    <x v="3"/>
    <n v="-19411108.239500001"/>
    <n v="-18895741.530000001"/>
    <n v="515366.70950000017"/>
  </r>
  <r>
    <x v="4"/>
    <n v="-82090124.386399999"/>
    <n v="-86913014.609999999"/>
    <n v="-4822890.2235999918"/>
  </r>
  <r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CAA7D-39B7-4184-8B98-2BED3D95F67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ountry">
  <location ref="D30:E54" firstHeaderRow="1" firstDataRow="1" firstDataCol="1"/>
  <pivotFields count="4">
    <pivotField axis="axisRow" multipleItemSelectionAllowe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1"/>
        <item h="1" x="23"/>
        <item t="default"/>
      </items>
    </pivotField>
    <pivotField showAll="0"/>
    <pivotField dataField="1" showAll="0">
      <items count="24">
        <item x="20"/>
        <item x="21"/>
        <item x="6"/>
        <item x="11"/>
        <item x="2"/>
        <item x="9"/>
        <item x="15"/>
        <item x="14"/>
        <item x="12"/>
        <item x="1"/>
        <item x="3"/>
        <item x="7"/>
        <item x="0"/>
        <item x="18"/>
        <item x="13"/>
        <item x="4"/>
        <item x="16"/>
        <item x="19"/>
        <item x="10"/>
        <item x="17"/>
        <item x="8"/>
        <item x="5"/>
        <item x="22"/>
        <item t="default"/>
      </items>
    </pivotField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Actual_vs_Plan_Variance" fld="2" baseField="0" baseItem="0"/>
  </dataFields>
  <formats count="1">
    <format dxfId="4">
      <pivotArea dataOnly="0" outline="0" axis="axisValues" fieldPosition="0"/>
    </format>
  </formats>
  <chartFormats count="1">
    <chartFormat chart="0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D5169-7449-4B53-8AB8-E665EE0ECB5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ost Element Group ">
  <location ref="D16:E22" firstHeaderRow="1" firstDataRow="1" firstDataCol="1"/>
  <pivotFields count="4"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_vs_Plan_Variance" fld="2" baseField="0" baseItem="0"/>
  </dataFields>
  <formats count="1">
    <format dxfId="1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42AB7-E71C-49BB-BFCE-7A542D08505F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T Area">
  <location ref="I20:J26" firstHeaderRow="1" firstDataRow="1" firstDataCol="1"/>
  <pivotFields count="4"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_vs_Plan_Variance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workbookViewId="0">
      <selection activeCell="G13" sqref="G13"/>
    </sheetView>
  </sheetViews>
  <sheetFormatPr defaultRowHeight="14.4" x14ac:dyDescent="0.3"/>
  <cols>
    <col min="1" max="1" width="9.77734375" customWidth="1"/>
    <col min="2" max="2" width="14.33203125" customWidth="1"/>
    <col min="3" max="3" width="28.109375" customWidth="1"/>
    <col min="4" max="4" width="24.88671875" customWidth="1"/>
    <col min="5" max="5" width="26.44140625" customWidth="1"/>
    <col min="7" max="7" width="12.5546875" bestFit="1" customWidth="1"/>
    <col min="8" max="8" width="2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0</v>
      </c>
      <c r="D2">
        <v>-4703333.6100000003</v>
      </c>
      <c r="E2">
        <v>-4703333.6100000003</v>
      </c>
    </row>
    <row r="3" spans="1:5" x14ac:dyDescent="0.3">
      <c r="A3">
        <v>1</v>
      </c>
      <c r="B3" t="s">
        <v>6</v>
      </c>
      <c r="C3">
        <v>0</v>
      </c>
      <c r="D3">
        <v>-766952.79</v>
      </c>
      <c r="E3">
        <v>-766952.79</v>
      </c>
    </row>
    <row r="4" spans="1:5" x14ac:dyDescent="0.3">
      <c r="A4">
        <v>1</v>
      </c>
      <c r="B4" t="s">
        <v>7</v>
      </c>
      <c r="C4">
        <v>0</v>
      </c>
      <c r="D4">
        <v>-6137019.3499999996</v>
      </c>
      <c r="E4">
        <v>-6137019.3499999996</v>
      </c>
    </row>
    <row r="5" spans="1:5" x14ac:dyDescent="0.3">
      <c r="A5">
        <v>1</v>
      </c>
      <c r="B5" t="s">
        <v>8</v>
      </c>
      <c r="C5">
        <v>0</v>
      </c>
      <c r="D5">
        <v>-583507.55999999994</v>
      </c>
      <c r="E5">
        <v>-583507.55999999994</v>
      </c>
    </row>
    <row r="6" spans="1:5" x14ac:dyDescent="0.3">
      <c r="A6">
        <v>1</v>
      </c>
      <c r="B6" t="s">
        <v>9</v>
      </c>
      <c r="C6">
        <v>0</v>
      </c>
      <c r="D6">
        <v>-2801904.82</v>
      </c>
      <c r="E6">
        <v>-2801904.82</v>
      </c>
    </row>
    <row r="7" spans="1:5" x14ac:dyDescent="0.3">
      <c r="A7">
        <v>1</v>
      </c>
      <c r="B7" t="s">
        <v>10</v>
      </c>
      <c r="C7">
        <v>0</v>
      </c>
      <c r="D7">
        <v>-12939840.380000001</v>
      </c>
      <c r="E7">
        <v>-12939840.380000001</v>
      </c>
    </row>
    <row r="8" spans="1:5" x14ac:dyDescent="0.3">
      <c r="A8">
        <v>1</v>
      </c>
      <c r="B8" t="s">
        <v>11</v>
      </c>
      <c r="C8">
        <v>0</v>
      </c>
      <c r="D8">
        <v>-316192.36999999988</v>
      </c>
      <c r="E8">
        <v>-316192.36999999988</v>
      </c>
    </row>
    <row r="9" spans="1:5" x14ac:dyDescent="0.3">
      <c r="A9">
        <v>2</v>
      </c>
      <c r="B9" t="s">
        <v>5</v>
      </c>
      <c r="C9">
        <v>0</v>
      </c>
      <c r="D9">
        <v>-1770867.59</v>
      </c>
      <c r="E9">
        <v>-1770867.59</v>
      </c>
    </row>
    <row r="10" spans="1:5" x14ac:dyDescent="0.3">
      <c r="A10">
        <v>2</v>
      </c>
      <c r="B10" t="s">
        <v>6</v>
      </c>
      <c r="C10">
        <v>0</v>
      </c>
      <c r="D10">
        <v>-435322.13</v>
      </c>
      <c r="E10">
        <v>-435322.13</v>
      </c>
    </row>
    <row r="11" spans="1:5" x14ac:dyDescent="0.3">
      <c r="A11">
        <v>2</v>
      </c>
      <c r="B11" t="s">
        <v>7</v>
      </c>
      <c r="C11">
        <v>0</v>
      </c>
      <c r="D11">
        <v>-3834526.89</v>
      </c>
      <c r="E11">
        <v>-3834526.89</v>
      </c>
    </row>
    <row r="12" spans="1:5" x14ac:dyDescent="0.3">
      <c r="A12">
        <v>2</v>
      </c>
      <c r="B12" t="s">
        <v>8</v>
      </c>
      <c r="C12">
        <v>0</v>
      </c>
      <c r="D12">
        <v>-1372262.63</v>
      </c>
      <c r="E12">
        <v>-1372262.63</v>
      </c>
    </row>
    <row r="13" spans="1:5" x14ac:dyDescent="0.3">
      <c r="A13">
        <v>2</v>
      </c>
      <c r="B13" t="s">
        <v>9</v>
      </c>
      <c r="C13">
        <v>0</v>
      </c>
      <c r="D13">
        <v>-1194193.19</v>
      </c>
      <c r="E13">
        <v>-1194193.19</v>
      </c>
    </row>
    <row r="14" spans="1:5" x14ac:dyDescent="0.3">
      <c r="A14">
        <v>2</v>
      </c>
      <c r="B14" t="s">
        <v>10</v>
      </c>
      <c r="C14">
        <v>0</v>
      </c>
      <c r="D14">
        <v>1576193.96</v>
      </c>
      <c r="E14">
        <v>1576193.96</v>
      </c>
    </row>
    <row r="15" spans="1:5" x14ac:dyDescent="0.3">
      <c r="A15">
        <v>2</v>
      </c>
      <c r="B15" t="s">
        <v>11</v>
      </c>
      <c r="C15">
        <v>0</v>
      </c>
      <c r="D15">
        <v>-510443.27000000008</v>
      </c>
      <c r="E15">
        <v>-510443.27000000008</v>
      </c>
    </row>
    <row r="16" spans="1:5" x14ac:dyDescent="0.3">
      <c r="A16">
        <v>3</v>
      </c>
      <c r="B16" t="s">
        <v>5</v>
      </c>
      <c r="C16">
        <v>0</v>
      </c>
      <c r="D16">
        <v>-281963.1200000004</v>
      </c>
      <c r="E16">
        <v>-281963.1200000004</v>
      </c>
    </row>
    <row r="17" spans="1:5" x14ac:dyDescent="0.3">
      <c r="A17">
        <v>3</v>
      </c>
      <c r="B17" t="s">
        <v>6</v>
      </c>
      <c r="C17">
        <v>0</v>
      </c>
      <c r="D17">
        <v>876983.15</v>
      </c>
      <c r="E17">
        <v>876983.15</v>
      </c>
    </row>
    <row r="18" spans="1:5" x14ac:dyDescent="0.3">
      <c r="A18">
        <v>3</v>
      </c>
      <c r="B18" t="s">
        <v>7</v>
      </c>
      <c r="C18">
        <v>0</v>
      </c>
      <c r="D18">
        <v>-2644368.830000001</v>
      </c>
      <c r="E18">
        <v>-2644368.830000001</v>
      </c>
    </row>
    <row r="19" spans="1:5" x14ac:dyDescent="0.3">
      <c r="A19">
        <v>3</v>
      </c>
      <c r="B19" t="s">
        <v>8</v>
      </c>
      <c r="C19">
        <v>0</v>
      </c>
      <c r="D19">
        <v>-287725.90999999968</v>
      </c>
      <c r="E19">
        <v>-287725.90999999968</v>
      </c>
    </row>
    <row r="20" spans="1:5" x14ac:dyDescent="0.3">
      <c r="A20">
        <v>3</v>
      </c>
      <c r="B20" t="s">
        <v>9</v>
      </c>
      <c r="C20">
        <v>0</v>
      </c>
      <c r="D20">
        <v>-516341.17</v>
      </c>
      <c r="E20">
        <v>-516341.17</v>
      </c>
    </row>
    <row r="21" spans="1:5" x14ac:dyDescent="0.3">
      <c r="A21">
        <v>3</v>
      </c>
      <c r="B21" t="s">
        <v>10</v>
      </c>
      <c r="C21">
        <v>0</v>
      </c>
      <c r="D21">
        <v>-311702.8000000001</v>
      </c>
      <c r="E21">
        <v>-311702.8000000001</v>
      </c>
    </row>
    <row r="22" spans="1:5" x14ac:dyDescent="0.3">
      <c r="A22">
        <v>3</v>
      </c>
      <c r="B22" t="s">
        <v>11</v>
      </c>
      <c r="C22">
        <v>0</v>
      </c>
      <c r="D22">
        <v>-866234.37</v>
      </c>
      <c r="E22">
        <v>-866234.37</v>
      </c>
    </row>
    <row r="23" spans="1:5" x14ac:dyDescent="0.3">
      <c r="A23">
        <v>4</v>
      </c>
      <c r="B23" t="s">
        <v>5</v>
      </c>
      <c r="C23">
        <v>0</v>
      </c>
      <c r="D23">
        <v>-2062945.91</v>
      </c>
      <c r="E23">
        <v>-2062945.91</v>
      </c>
    </row>
    <row r="24" spans="1:5" x14ac:dyDescent="0.3">
      <c r="A24">
        <v>4</v>
      </c>
      <c r="B24" t="s">
        <v>6</v>
      </c>
      <c r="C24">
        <v>0</v>
      </c>
      <c r="D24">
        <v>-965340.47</v>
      </c>
      <c r="E24">
        <v>-965340.47</v>
      </c>
    </row>
    <row r="25" spans="1:5" x14ac:dyDescent="0.3">
      <c r="A25">
        <v>4</v>
      </c>
      <c r="B25" t="s">
        <v>7</v>
      </c>
      <c r="C25">
        <v>0</v>
      </c>
      <c r="D25">
        <v>-3488742.5799999968</v>
      </c>
      <c r="E25">
        <v>-3488742.5799999968</v>
      </c>
    </row>
    <row r="26" spans="1:5" x14ac:dyDescent="0.3">
      <c r="A26">
        <v>4</v>
      </c>
      <c r="B26" t="s">
        <v>8</v>
      </c>
      <c r="C26">
        <v>0</v>
      </c>
      <c r="D26">
        <v>-1564596.74</v>
      </c>
      <c r="E26">
        <v>-1564596.74</v>
      </c>
    </row>
    <row r="27" spans="1:5" x14ac:dyDescent="0.3">
      <c r="A27">
        <v>4</v>
      </c>
      <c r="B27" t="s">
        <v>9</v>
      </c>
      <c r="C27">
        <v>0</v>
      </c>
      <c r="D27">
        <v>-522531.16999999981</v>
      </c>
      <c r="E27">
        <v>-522531.16999999981</v>
      </c>
    </row>
    <row r="28" spans="1:5" x14ac:dyDescent="0.3">
      <c r="A28">
        <v>4</v>
      </c>
      <c r="B28" t="s">
        <v>10</v>
      </c>
      <c r="C28">
        <v>0</v>
      </c>
      <c r="D28">
        <v>-330396.87999999989</v>
      </c>
      <c r="E28">
        <v>-330396.87999999989</v>
      </c>
    </row>
    <row r="29" spans="1:5" x14ac:dyDescent="0.3">
      <c r="A29">
        <v>4</v>
      </c>
      <c r="B29" t="s">
        <v>11</v>
      </c>
      <c r="C29">
        <v>0</v>
      </c>
      <c r="D29">
        <v>169984.94</v>
      </c>
      <c r="E29">
        <v>169984.94</v>
      </c>
    </row>
    <row r="30" spans="1:5" x14ac:dyDescent="0.3">
      <c r="A30">
        <v>5</v>
      </c>
      <c r="B30" t="s">
        <v>5</v>
      </c>
      <c r="C30">
        <v>0</v>
      </c>
      <c r="D30">
        <v>-2104522.04</v>
      </c>
      <c r="E30">
        <v>-2104522.04</v>
      </c>
    </row>
    <row r="31" spans="1:5" x14ac:dyDescent="0.3">
      <c r="A31">
        <v>5</v>
      </c>
      <c r="B31" t="s">
        <v>6</v>
      </c>
      <c r="C31">
        <v>0</v>
      </c>
      <c r="D31">
        <v>1000290.36</v>
      </c>
      <c r="E31">
        <v>1000290.36</v>
      </c>
    </row>
    <row r="32" spans="1:5" x14ac:dyDescent="0.3">
      <c r="A32">
        <v>5</v>
      </c>
      <c r="B32" t="s">
        <v>7</v>
      </c>
      <c r="C32">
        <v>0</v>
      </c>
      <c r="D32">
        <v>1603364.28</v>
      </c>
      <c r="E32">
        <v>1603364.28</v>
      </c>
    </row>
    <row r="33" spans="1:5" x14ac:dyDescent="0.3">
      <c r="A33">
        <v>5</v>
      </c>
      <c r="B33" t="s">
        <v>8</v>
      </c>
      <c r="C33">
        <v>0</v>
      </c>
      <c r="D33">
        <v>-632170.87999999989</v>
      </c>
      <c r="E33">
        <v>-632170.87999999989</v>
      </c>
    </row>
    <row r="34" spans="1:5" x14ac:dyDescent="0.3">
      <c r="A34">
        <v>5</v>
      </c>
      <c r="B34" t="s">
        <v>9</v>
      </c>
      <c r="C34">
        <v>0</v>
      </c>
      <c r="D34">
        <v>271525.59999999992</v>
      </c>
      <c r="E34">
        <v>271525.59999999992</v>
      </c>
    </row>
    <row r="35" spans="1:5" x14ac:dyDescent="0.3">
      <c r="A35">
        <v>5</v>
      </c>
      <c r="B35" t="s">
        <v>10</v>
      </c>
      <c r="C35">
        <v>0</v>
      </c>
      <c r="D35">
        <v>844383.08000000007</v>
      </c>
      <c r="E35">
        <v>844383.08000000007</v>
      </c>
    </row>
    <row r="36" spans="1:5" x14ac:dyDescent="0.3">
      <c r="A36">
        <v>5</v>
      </c>
      <c r="B36" t="s">
        <v>11</v>
      </c>
      <c r="C36">
        <v>0</v>
      </c>
      <c r="D36">
        <v>101008.53</v>
      </c>
      <c r="E36">
        <v>101008.53</v>
      </c>
    </row>
    <row r="37" spans="1:5" x14ac:dyDescent="0.3">
      <c r="A37">
        <v>6</v>
      </c>
      <c r="B37" t="s">
        <v>5</v>
      </c>
      <c r="C37">
        <v>0</v>
      </c>
      <c r="D37">
        <v>-2104056.25</v>
      </c>
      <c r="E37">
        <v>-2104056.25</v>
      </c>
    </row>
    <row r="38" spans="1:5" x14ac:dyDescent="0.3">
      <c r="A38">
        <v>6</v>
      </c>
      <c r="B38" t="s">
        <v>6</v>
      </c>
      <c r="C38">
        <v>0</v>
      </c>
      <c r="D38">
        <v>-178252.28000000009</v>
      </c>
      <c r="E38">
        <v>-178252.28000000009</v>
      </c>
    </row>
    <row r="39" spans="1:5" x14ac:dyDescent="0.3">
      <c r="A39">
        <v>6</v>
      </c>
      <c r="B39" t="s">
        <v>7</v>
      </c>
      <c r="C39">
        <v>1.164153218269348E-10</v>
      </c>
      <c r="D39">
        <v>371959.5</v>
      </c>
      <c r="E39">
        <v>371959.5</v>
      </c>
    </row>
    <row r="40" spans="1:5" x14ac:dyDescent="0.3">
      <c r="A40">
        <v>6</v>
      </c>
      <c r="B40" t="s">
        <v>8</v>
      </c>
      <c r="C40">
        <v>0</v>
      </c>
      <c r="D40">
        <v>4176515.25</v>
      </c>
      <c r="E40">
        <v>4176515.25</v>
      </c>
    </row>
    <row r="41" spans="1:5" x14ac:dyDescent="0.3">
      <c r="A41">
        <v>6</v>
      </c>
      <c r="B41" t="s">
        <v>9</v>
      </c>
      <c r="C41">
        <v>0</v>
      </c>
      <c r="D41">
        <v>766150.46999999986</v>
      </c>
      <c r="E41">
        <v>766150.46999999986</v>
      </c>
    </row>
    <row r="42" spans="1:5" x14ac:dyDescent="0.3">
      <c r="A42">
        <v>6</v>
      </c>
      <c r="B42" t="s">
        <v>10</v>
      </c>
      <c r="C42">
        <v>0</v>
      </c>
      <c r="D42">
        <v>-4469406.76</v>
      </c>
      <c r="E42">
        <v>-4469406.76</v>
      </c>
    </row>
    <row r="43" spans="1:5" x14ac:dyDescent="0.3">
      <c r="A43">
        <v>6</v>
      </c>
      <c r="B43" t="s">
        <v>11</v>
      </c>
      <c r="C43">
        <v>0</v>
      </c>
      <c r="D43">
        <v>-1763957.94</v>
      </c>
      <c r="E43">
        <v>-1763957.94</v>
      </c>
    </row>
    <row r="44" spans="1:5" x14ac:dyDescent="0.3">
      <c r="A44">
        <v>7</v>
      </c>
      <c r="B44" t="s">
        <v>5</v>
      </c>
      <c r="C44">
        <v>-3707404.3155999999</v>
      </c>
      <c r="D44">
        <v>-1798936.16</v>
      </c>
      <c r="E44">
        <v>1908468.155599999</v>
      </c>
    </row>
    <row r="45" spans="1:5" x14ac:dyDescent="0.3">
      <c r="A45">
        <v>7</v>
      </c>
      <c r="B45" t="s">
        <v>6</v>
      </c>
      <c r="C45">
        <v>328233.50829999993</v>
      </c>
      <c r="D45">
        <v>408999.98</v>
      </c>
      <c r="E45">
        <v>80766.471700000169</v>
      </c>
    </row>
    <row r="46" spans="1:5" x14ac:dyDescent="0.3">
      <c r="A46">
        <v>7</v>
      </c>
      <c r="B46" t="s">
        <v>7</v>
      </c>
      <c r="C46">
        <v>-836452.12209999992</v>
      </c>
      <c r="D46">
        <v>1688581.21</v>
      </c>
      <c r="E46">
        <v>2525033.3321000002</v>
      </c>
    </row>
    <row r="47" spans="1:5" x14ac:dyDescent="0.3">
      <c r="A47">
        <v>7</v>
      </c>
      <c r="B47" t="s">
        <v>8</v>
      </c>
      <c r="C47">
        <v>-497235.12120000011</v>
      </c>
      <c r="D47">
        <v>-454536.49000000011</v>
      </c>
      <c r="E47">
        <v>42698.631199999829</v>
      </c>
    </row>
    <row r="48" spans="1:5" x14ac:dyDescent="0.3">
      <c r="A48">
        <v>7</v>
      </c>
      <c r="B48" t="s">
        <v>9</v>
      </c>
      <c r="C48">
        <v>-104674.03469999949</v>
      </c>
      <c r="D48">
        <v>219492.2400000004</v>
      </c>
      <c r="E48">
        <v>324166.27470000018</v>
      </c>
    </row>
    <row r="49" spans="1:5" x14ac:dyDescent="0.3">
      <c r="A49">
        <v>7</v>
      </c>
      <c r="B49" t="s">
        <v>10</v>
      </c>
      <c r="C49">
        <v>-2134556.3314999999</v>
      </c>
      <c r="D49">
        <v>-3366172.84</v>
      </c>
      <c r="E49">
        <v>-1231616.5085</v>
      </c>
    </row>
    <row r="50" spans="1:5" x14ac:dyDescent="0.3">
      <c r="A50">
        <v>7</v>
      </c>
      <c r="B50" t="s">
        <v>11</v>
      </c>
      <c r="C50">
        <v>-924466.19050000003</v>
      </c>
      <c r="D50">
        <v>-276029.84000000003</v>
      </c>
      <c r="E50">
        <v>648436.35049999994</v>
      </c>
    </row>
    <row r="51" spans="1:5" x14ac:dyDescent="0.3">
      <c r="A51">
        <v>8</v>
      </c>
      <c r="B51" t="s">
        <v>5</v>
      </c>
      <c r="C51">
        <v>-2563231.1222000001</v>
      </c>
      <c r="D51">
        <v>-589971.5700000003</v>
      </c>
      <c r="E51">
        <v>1973259.5521999991</v>
      </c>
    </row>
    <row r="52" spans="1:5" x14ac:dyDescent="0.3">
      <c r="A52">
        <v>8</v>
      </c>
      <c r="B52" t="s">
        <v>6</v>
      </c>
      <c r="C52">
        <v>-763453.80170000007</v>
      </c>
      <c r="D52">
        <v>-577331.6</v>
      </c>
      <c r="E52">
        <v>186122.20170000009</v>
      </c>
    </row>
    <row r="53" spans="1:5" x14ac:dyDescent="0.3">
      <c r="A53">
        <v>8</v>
      </c>
      <c r="B53" t="s">
        <v>7</v>
      </c>
      <c r="C53">
        <v>-2531812.2119</v>
      </c>
      <c r="D53">
        <v>547747.69000000029</v>
      </c>
      <c r="E53">
        <v>3079559.9018999999</v>
      </c>
    </row>
    <row r="54" spans="1:5" x14ac:dyDescent="0.3">
      <c r="A54">
        <v>8</v>
      </c>
      <c r="B54" t="s">
        <v>8</v>
      </c>
      <c r="C54">
        <v>-763292.76119999983</v>
      </c>
      <c r="D54">
        <v>-572334.11</v>
      </c>
      <c r="E54">
        <v>190958.65119999991</v>
      </c>
    </row>
    <row r="55" spans="1:5" x14ac:dyDescent="0.3">
      <c r="A55">
        <v>8</v>
      </c>
      <c r="B55" t="s">
        <v>9</v>
      </c>
      <c r="C55">
        <v>-1762614.7046999999</v>
      </c>
      <c r="D55">
        <v>-715416.42999999993</v>
      </c>
      <c r="E55">
        <v>1047198.2747</v>
      </c>
    </row>
    <row r="56" spans="1:5" x14ac:dyDescent="0.3">
      <c r="A56">
        <v>8</v>
      </c>
      <c r="B56" t="s">
        <v>10</v>
      </c>
      <c r="C56">
        <v>-2087220.5068999999</v>
      </c>
      <c r="D56">
        <v>1091389.95</v>
      </c>
      <c r="E56">
        <v>3178610.4569000001</v>
      </c>
    </row>
    <row r="57" spans="1:5" x14ac:dyDescent="0.3">
      <c r="A57">
        <v>8</v>
      </c>
      <c r="B57" t="s">
        <v>11</v>
      </c>
      <c r="C57">
        <v>-740337.40179999999</v>
      </c>
      <c r="D57">
        <v>-476994.47999999992</v>
      </c>
      <c r="E57">
        <v>263342.92180000001</v>
      </c>
    </row>
    <row r="58" spans="1:5" x14ac:dyDescent="0.3">
      <c r="A58">
        <v>9</v>
      </c>
      <c r="B58" t="s">
        <v>5</v>
      </c>
      <c r="C58">
        <v>-13265559.4822</v>
      </c>
      <c r="D58">
        <v>-11661407.710000001</v>
      </c>
      <c r="E58">
        <v>1604151.7721999991</v>
      </c>
    </row>
    <row r="59" spans="1:5" x14ac:dyDescent="0.3">
      <c r="A59">
        <v>9</v>
      </c>
      <c r="B59" t="s">
        <v>6</v>
      </c>
      <c r="C59">
        <v>-4694518.4316999996</v>
      </c>
      <c r="D59">
        <v>-4571557</v>
      </c>
      <c r="E59">
        <v>122961.4317000001</v>
      </c>
    </row>
    <row r="60" spans="1:5" x14ac:dyDescent="0.3">
      <c r="A60">
        <v>9</v>
      </c>
      <c r="B60" t="s">
        <v>7</v>
      </c>
      <c r="C60">
        <v>-22857845.920499999</v>
      </c>
      <c r="D60">
        <v>-20422118.41</v>
      </c>
      <c r="E60">
        <v>2435727.5104999999</v>
      </c>
    </row>
    <row r="61" spans="1:5" x14ac:dyDescent="0.3">
      <c r="A61">
        <v>9</v>
      </c>
      <c r="B61" t="s">
        <v>8</v>
      </c>
      <c r="C61">
        <v>-11386759.1712</v>
      </c>
      <c r="D61">
        <v>-10599989.85</v>
      </c>
      <c r="E61">
        <v>786769.32119999989</v>
      </c>
    </row>
    <row r="62" spans="1:5" x14ac:dyDescent="0.3">
      <c r="A62">
        <v>9</v>
      </c>
      <c r="B62" t="s">
        <v>9</v>
      </c>
      <c r="C62">
        <v>-14419959.094699999</v>
      </c>
      <c r="D62">
        <v>-14587739.810000001</v>
      </c>
      <c r="E62">
        <v>-167780.71530000001</v>
      </c>
    </row>
    <row r="63" spans="1:5" x14ac:dyDescent="0.3">
      <c r="A63">
        <v>9</v>
      </c>
      <c r="B63" t="s">
        <v>10</v>
      </c>
      <c r="C63">
        <v>-11295894.581800001</v>
      </c>
      <c r="D63">
        <v>-7572275.3500000006</v>
      </c>
      <c r="E63">
        <v>3723619.2318000002</v>
      </c>
    </row>
    <row r="64" spans="1:5" x14ac:dyDescent="0.3">
      <c r="A64">
        <v>9</v>
      </c>
      <c r="B64" t="s">
        <v>11</v>
      </c>
      <c r="C64">
        <v>-4019376.1285000001</v>
      </c>
      <c r="D64">
        <v>-3689131.31</v>
      </c>
      <c r="E64">
        <v>330244.81849999988</v>
      </c>
    </row>
    <row r="65" spans="1:5" x14ac:dyDescent="0.3">
      <c r="A65">
        <v>10</v>
      </c>
      <c r="B65" t="s">
        <v>5</v>
      </c>
      <c r="C65">
        <v>-13493317.608100001</v>
      </c>
      <c r="D65">
        <v>-11290022.449999999</v>
      </c>
      <c r="E65">
        <v>2203295.1581000001</v>
      </c>
    </row>
    <row r="66" spans="1:5" x14ac:dyDescent="0.3">
      <c r="A66">
        <v>10</v>
      </c>
      <c r="B66" t="s">
        <v>6</v>
      </c>
      <c r="C66">
        <v>-4675068.0717000002</v>
      </c>
      <c r="D66">
        <v>-4489700.46</v>
      </c>
      <c r="E66">
        <v>185367.6117000001</v>
      </c>
    </row>
    <row r="67" spans="1:5" x14ac:dyDescent="0.3">
      <c r="A67">
        <v>10</v>
      </c>
      <c r="B67" t="s">
        <v>7</v>
      </c>
      <c r="C67">
        <v>-22312323.678300001</v>
      </c>
      <c r="D67">
        <v>-19488750.57</v>
      </c>
      <c r="E67">
        <v>2823573.1083</v>
      </c>
    </row>
    <row r="68" spans="1:5" x14ac:dyDescent="0.3">
      <c r="A68">
        <v>10</v>
      </c>
      <c r="B68" t="s">
        <v>8</v>
      </c>
      <c r="C68">
        <v>-11459990.8698</v>
      </c>
      <c r="D68">
        <v>-11355910.73</v>
      </c>
      <c r="E68">
        <v>104080.1397999998</v>
      </c>
    </row>
    <row r="69" spans="1:5" x14ac:dyDescent="0.3">
      <c r="A69">
        <v>10</v>
      </c>
      <c r="B69" t="s">
        <v>9</v>
      </c>
      <c r="C69">
        <v>-16628260.0447</v>
      </c>
      <c r="D69">
        <v>-15034085.76</v>
      </c>
      <c r="E69">
        <v>1594174.2847</v>
      </c>
    </row>
    <row r="70" spans="1:5" x14ac:dyDescent="0.3">
      <c r="A70">
        <v>10</v>
      </c>
      <c r="B70" t="s">
        <v>10</v>
      </c>
      <c r="C70">
        <v>-11791280.9202</v>
      </c>
      <c r="D70">
        <v>-7523376.7200000007</v>
      </c>
      <c r="E70">
        <v>4267904.2001999989</v>
      </c>
    </row>
    <row r="71" spans="1:5" x14ac:dyDescent="0.3">
      <c r="A71">
        <v>10</v>
      </c>
      <c r="B71" t="s">
        <v>11</v>
      </c>
      <c r="C71">
        <v>-3140014.6672999999</v>
      </c>
      <c r="D71">
        <v>-3100748</v>
      </c>
      <c r="E71">
        <v>39266.667300000023</v>
      </c>
    </row>
    <row r="72" spans="1:5" x14ac:dyDescent="0.3">
      <c r="A72">
        <v>11</v>
      </c>
      <c r="B72" t="s">
        <v>5</v>
      </c>
      <c r="C72">
        <v>-12262858.7981</v>
      </c>
      <c r="D72">
        <v>-11481532.470000001</v>
      </c>
      <c r="E72">
        <v>781326.32809999969</v>
      </c>
    </row>
    <row r="73" spans="1:5" x14ac:dyDescent="0.3">
      <c r="A73">
        <v>11</v>
      </c>
      <c r="B73" t="s">
        <v>6</v>
      </c>
      <c r="C73">
        <v>-4728333.0016999999</v>
      </c>
      <c r="D73">
        <v>-4538762.72</v>
      </c>
      <c r="E73">
        <v>189570.28169999999</v>
      </c>
    </row>
    <row r="74" spans="1:5" x14ac:dyDescent="0.3">
      <c r="A74">
        <v>11</v>
      </c>
      <c r="B74" t="s">
        <v>7</v>
      </c>
      <c r="C74">
        <v>-19209035.684999999</v>
      </c>
      <c r="D74">
        <v>-20174824.379999999</v>
      </c>
      <c r="E74">
        <v>-965788.69499999972</v>
      </c>
    </row>
    <row r="75" spans="1:5" x14ac:dyDescent="0.3">
      <c r="A75">
        <v>11</v>
      </c>
      <c r="B75" t="s">
        <v>8</v>
      </c>
      <c r="C75">
        <v>-11459990.8698</v>
      </c>
      <c r="D75">
        <v>-10858811.939999999</v>
      </c>
      <c r="E75">
        <v>601178.92979999993</v>
      </c>
    </row>
    <row r="76" spans="1:5" x14ac:dyDescent="0.3">
      <c r="A76">
        <v>11</v>
      </c>
      <c r="B76" t="s">
        <v>9</v>
      </c>
      <c r="C76">
        <v>-14210293.3147</v>
      </c>
      <c r="D76">
        <v>-12787457.029999999</v>
      </c>
      <c r="E76">
        <v>1422836.2847</v>
      </c>
    </row>
    <row r="77" spans="1:5" x14ac:dyDescent="0.3">
      <c r="A77">
        <v>11</v>
      </c>
      <c r="B77" t="s">
        <v>10</v>
      </c>
      <c r="C77">
        <v>-11034242.573899999</v>
      </c>
      <c r="D77">
        <v>-7725559.8700000001</v>
      </c>
      <c r="E77">
        <v>3308682.7039000001</v>
      </c>
    </row>
    <row r="78" spans="1:5" x14ac:dyDescent="0.3">
      <c r="A78">
        <v>11</v>
      </c>
      <c r="B78" t="s">
        <v>11</v>
      </c>
      <c r="C78">
        <v>-3143270.4306000001</v>
      </c>
      <c r="D78">
        <v>-3101481</v>
      </c>
      <c r="E78">
        <v>41789.430600000007</v>
      </c>
    </row>
    <row r="79" spans="1:5" x14ac:dyDescent="0.3">
      <c r="A79">
        <v>12</v>
      </c>
      <c r="B79" t="s">
        <v>5</v>
      </c>
      <c r="C79">
        <v>-12509914.3148</v>
      </c>
      <c r="D79">
        <v>-11485101.65</v>
      </c>
      <c r="E79">
        <v>1024812.6648</v>
      </c>
    </row>
    <row r="80" spans="1:5" x14ac:dyDescent="0.3">
      <c r="A80">
        <v>12</v>
      </c>
      <c r="B80" t="s">
        <v>6</v>
      </c>
      <c r="C80">
        <v>-4877968.4410000006</v>
      </c>
      <c r="D80">
        <v>-4658969.57</v>
      </c>
      <c r="E80">
        <v>218998.87100000001</v>
      </c>
    </row>
    <row r="81" spans="1:5" x14ac:dyDescent="0.3">
      <c r="A81">
        <v>12</v>
      </c>
      <c r="B81" t="s">
        <v>7</v>
      </c>
      <c r="C81">
        <v>-16622451.272299999</v>
      </c>
      <c r="D81">
        <v>-19970610.489999998</v>
      </c>
      <c r="E81">
        <v>-3348159.2176999999</v>
      </c>
    </row>
    <row r="82" spans="1:5" x14ac:dyDescent="0.3">
      <c r="A82">
        <v>12</v>
      </c>
      <c r="B82" t="s">
        <v>8</v>
      </c>
      <c r="C82">
        <v>-11459990.8698</v>
      </c>
      <c r="D82">
        <v>-11255181.67</v>
      </c>
      <c r="E82">
        <v>204809.1998</v>
      </c>
    </row>
    <row r="83" spans="1:5" x14ac:dyDescent="0.3">
      <c r="A83">
        <v>12</v>
      </c>
      <c r="B83" t="s">
        <v>9</v>
      </c>
      <c r="C83">
        <v>-14125476.004699999</v>
      </c>
      <c r="D83">
        <v>-14683751.539999999</v>
      </c>
      <c r="E83">
        <v>-558275.53529999999</v>
      </c>
    </row>
    <row r="84" spans="1:5" x14ac:dyDescent="0.3">
      <c r="A84">
        <v>12</v>
      </c>
      <c r="B84" t="s">
        <v>10</v>
      </c>
      <c r="C84">
        <v>-11290604.892200001</v>
      </c>
      <c r="D84">
        <v>-7670151.6400000006</v>
      </c>
      <c r="E84">
        <v>3620453.2522</v>
      </c>
    </row>
    <row r="85" spans="1:5" x14ac:dyDescent="0.3">
      <c r="A85">
        <v>12</v>
      </c>
      <c r="B85" t="s">
        <v>11</v>
      </c>
      <c r="C85">
        <v>-3348122.6872999999</v>
      </c>
      <c r="D85">
        <v>-3317400.11</v>
      </c>
      <c r="E85">
        <v>30722.57729999999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topLeftCell="C28" zoomScale="95" zoomScaleNormal="95" workbookViewId="0">
      <selection activeCell="E45" sqref="E45"/>
    </sheetView>
  </sheetViews>
  <sheetFormatPr defaultRowHeight="14.4" x14ac:dyDescent="0.3"/>
  <cols>
    <col min="1" max="1" width="14.21875" customWidth="1"/>
    <col min="2" max="2" width="27.6640625" customWidth="1"/>
    <col min="3" max="3" width="23.5546875" customWidth="1"/>
    <col min="4" max="4" width="25.109375" customWidth="1"/>
    <col min="5" max="5" width="23.21875" customWidth="1"/>
    <col min="6" max="6" width="14" bestFit="1" customWidth="1"/>
    <col min="7" max="7" width="29" bestFit="1" customWidth="1"/>
    <col min="8" max="10" width="11.6640625" bestFit="1" customWidth="1"/>
    <col min="11" max="11" width="5.77734375" bestFit="1" customWidth="1"/>
    <col min="12" max="12" width="13.6640625" bestFit="1" customWidth="1"/>
    <col min="13" max="14" width="11.6640625" bestFit="1" customWidth="1"/>
    <col min="15" max="15" width="10" bestFit="1" customWidth="1"/>
    <col min="16" max="16" width="11.6640625" bestFit="1" customWidth="1"/>
    <col min="17" max="17" width="9" bestFit="1" customWidth="1"/>
    <col min="18" max="18" width="11.6640625" bestFit="1" customWidth="1"/>
    <col min="19" max="19" width="5.88671875" bestFit="1" customWidth="1"/>
    <col min="20" max="20" width="11.6640625" bestFit="1" customWidth="1"/>
    <col min="21" max="21" width="11.21875" bestFit="1" customWidth="1"/>
    <col min="22" max="22" width="11.88671875" bestFit="1" customWidth="1"/>
    <col min="23" max="23" width="11.6640625" bestFit="1" customWidth="1"/>
    <col min="24" max="24" width="8" bestFit="1" customWidth="1"/>
    <col min="25" max="25" width="9" bestFit="1" customWidth="1"/>
    <col min="26" max="26" width="10.6640625" bestFit="1" customWidth="1"/>
    <col min="27" max="27" width="9" bestFit="1" customWidth="1"/>
    <col min="28" max="28" width="14.77734375" bestFit="1" customWidth="1"/>
    <col min="29" max="29" width="10.6640625" bestFit="1" customWidth="1"/>
    <col min="30" max="30" width="12.6640625" bestFit="1" customWidth="1"/>
  </cols>
  <sheetData>
    <row r="1" spans="1:4" x14ac:dyDescent="0.3">
      <c r="A1" s="1" t="s">
        <v>12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13</v>
      </c>
      <c r="B2">
        <v>-661834.174</v>
      </c>
      <c r="C2">
        <v>-659928.65999999992</v>
      </c>
      <c r="D2">
        <v>1905.514000000117</v>
      </c>
    </row>
    <row r="3" spans="1:4" x14ac:dyDescent="0.3">
      <c r="A3" t="s">
        <v>14</v>
      </c>
      <c r="B3">
        <v>-2863299.4</v>
      </c>
      <c r="C3">
        <v>-2213602.0699999998</v>
      </c>
      <c r="D3">
        <v>649697.33000000019</v>
      </c>
    </row>
    <row r="4" spans="1:4" x14ac:dyDescent="0.3">
      <c r="A4" t="s">
        <v>15</v>
      </c>
      <c r="B4">
        <v>-3769664.9815000002</v>
      </c>
      <c r="C4">
        <v>-3769664.98</v>
      </c>
      <c r="D4">
        <v>1.499999999396096E-3</v>
      </c>
    </row>
    <row r="5" spans="1:4" x14ac:dyDescent="0.3">
      <c r="A5" t="s">
        <v>16</v>
      </c>
      <c r="B5">
        <v>-1706576.8803999999</v>
      </c>
      <c r="C5">
        <v>-1703944.47</v>
      </c>
      <c r="D5">
        <v>2632.4104000001348</v>
      </c>
    </row>
    <row r="6" spans="1:4" x14ac:dyDescent="0.3">
      <c r="A6" t="s">
        <v>17</v>
      </c>
      <c r="B6">
        <v>-1953754.0887</v>
      </c>
      <c r="C6">
        <v>0</v>
      </c>
      <c r="D6">
        <v>1953754.0887</v>
      </c>
    </row>
    <row r="7" spans="1:4" x14ac:dyDescent="0.3">
      <c r="A7" t="s">
        <v>18</v>
      </c>
      <c r="B7">
        <v>131471.44</v>
      </c>
      <c r="C7">
        <v>131471.44</v>
      </c>
      <c r="D7">
        <v>0</v>
      </c>
    </row>
    <row r="8" spans="1:4" x14ac:dyDescent="0.3">
      <c r="A8" t="s">
        <v>19</v>
      </c>
      <c r="B8">
        <v>-7873639.7160999998</v>
      </c>
      <c r="C8">
        <v>-7402057.25</v>
      </c>
      <c r="D8">
        <v>471582.46610000031</v>
      </c>
    </row>
    <row r="9" spans="1:4" x14ac:dyDescent="0.3">
      <c r="A9" t="s">
        <v>20</v>
      </c>
      <c r="B9">
        <v>-2177238.9898999999</v>
      </c>
      <c r="C9">
        <v>-1233694.73</v>
      </c>
      <c r="D9">
        <v>943544.25989999995</v>
      </c>
    </row>
    <row r="10" spans="1:4" x14ac:dyDescent="0.3">
      <c r="A10" t="s">
        <v>21</v>
      </c>
      <c r="B10">
        <v>107553.39</v>
      </c>
      <c r="C10">
        <v>107553.39</v>
      </c>
      <c r="D10">
        <v>0</v>
      </c>
    </row>
    <row r="11" spans="1:4" x14ac:dyDescent="0.3">
      <c r="A11" t="s">
        <v>22</v>
      </c>
      <c r="B11">
        <v>-1499101.2742000001</v>
      </c>
      <c r="C11">
        <v>-3697588.64</v>
      </c>
      <c r="D11">
        <v>-2198487.3657999998</v>
      </c>
    </row>
    <row r="12" spans="1:4" x14ac:dyDescent="0.3">
      <c r="A12" t="s">
        <v>23</v>
      </c>
      <c r="B12">
        <v>20046.16</v>
      </c>
      <c r="C12">
        <v>20046.16</v>
      </c>
      <c r="D12">
        <v>0</v>
      </c>
    </row>
    <row r="13" spans="1:4" x14ac:dyDescent="0.3">
      <c r="A13" t="s">
        <v>24</v>
      </c>
      <c r="B13">
        <v>-4334402.9781999998</v>
      </c>
      <c r="C13">
        <v>-4720685.49</v>
      </c>
      <c r="D13">
        <v>-386282.51180000021</v>
      </c>
    </row>
    <row r="14" spans="1:4" x14ac:dyDescent="0.3">
      <c r="A14" t="s">
        <v>25</v>
      </c>
      <c r="B14">
        <v>-1165857.1431</v>
      </c>
      <c r="C14">
        <v>0</v>
      </c>
      <c r="D14">
        <v>1165857.1431</v>
      </c>
    </row>
    <row r="15" spans="1:4" x14ac:dyDescent="0.3">
      <c r="A15" t="s">
        <v>26</v>
      </c>
      <c r="B15">
        <v>-2165669.1773000001</v>
      </c>
      <c r="C15">
        <v>-2239682.39</v>
      </c>
      <c r="D15">
        <v>-74013.212699999873</v>
      </c>
    </row>
    <row r="16" spans="1:4" x14ac:dyDescent="0.3">
      <c r="A16" t="s">
        <v>27</v>
      </c>
      <c r="B16">
        <v>-222671.94519999999</v>
      </c>
      <c r="C16">
        <v>-439825.54</v>
      </c>
      <c r="D16">
        <v>-217153.59479999999</v>
      </c>
    </row>
    <row r="17" spans="1:5" x14ac:dyDescent="0.3">
      <c r="A17" t="s">
        <v>28</v>
      </c>
      <c r="B17">
        <v>-3149292.4567999998</v>
      </c>
      <c r="C17">
        <v>-2954182.3</v>
      </c>
      <c r="D17">
        <v>195110.1568000002</v>
      </c>
    </row>
    <row r="18" spans="1:5" x14ac:dyDescent="0.3">
      <c r="A18" t="s">
        <v>29</v>
      </c>
      <c r="B18">
        <v>-3515369.9523</v>
      </c>
      <c r="C18">
        <v>-3427194.21</v>
      </c>
      <c r="D18">
        <v>88175.742299999954</v>
      </c>
    </row>
    <row r="19" spans="1:5" x14ac:dyDescent="0.3">
      <c r="A19" t="s">
        <v>30</v>
      </c>
      <c r="B19">
        <v>1918.17</v>
      </c>
      <c r="C19">
        <v>1918.17</v>
      </c>
      <c r="D19">
        <v>0</v>
      </c>
    </row>
    <row r="20" spans="1:5" x14ac:dyDescent="0.3">
      <c r="A20" t="s">
        <v>31</v>
      </c>
      <c r="B20">
        <v>-1027955.2809</v>
      </c>
      <c r="C20">
        <v>33122.930000000058</v>
      </c>
      <c r="D20">
        <v>1061078.2109000001</v>
      </c>
    </row>
    <row r="21" spans="1:5" x14ac:dyDescent="0.3">
      <c r="A21" t="s">
        <v>32</v>
      </c>
      <c r="B21">
        <v>-963274.81589999993</v>
      </c>
      <c r="C21">
        <v>-603281.47</v>
      </c>
      <c r="D21">
        <v>359993.34590000001</v>
      </c>
    </row>
    <row r="22" spans="1:5" x14ac:dyDescent="0.3">
      <c r="A22" t="s">
        <v>33</v>
      </c>
      <c r="B22">
        <v>17596.91</v>
      </c>
      <c r="C22">
        <v>17596.91</v>
      </c>
      <c r="D22">
        <v>0</v>
      </c>
    </row>
    <row r="23" spans="1:5" x14ac:dyDescent="0.3">
      <c r="A23" t="s">
        <v>34</v>
      </c>
      <c r="B23">
        <v>-279653070.56400001</v>
      </c>
      <c r="C23">
        <v>-296640031.97000003</v>
      </c>
      <c r="D23">
        <v>-16986961.406000011</v>
      </c>
    </row>
    <row r="24" spans="1:5" x14ac:dyDescent="0.3">
      <c r="A24" t="s">
        <v>35</v>
      </c>
      <c r="B24">
        <v>-16387151.195800001</v>
      </c>
      <c r="C24">
        <v>-13277531.050000001</v>
      </c>
      <c r="D24">
        <v>3109620.145800001</v>
      </c>
    </row>
    <row r="30" spans="1:5" ht="28.8" x14ac:dyDescent="0.3">
      <c r="D30" s="2" t="s">
        <v>12</v>
      </c>
      <c r="E30" s="4" t="s">
        <v>47</v>
      </c>
    </row>
    <row r="31" spans="1:5" x14ac:dyDescent="0.3">
      <c r="D31" s="3" t="s">
        <v>13</v>
      </c>
      <c r="E31">
        <v>-659928.65999999992</v>
      </c>
    </row>
    <row r="32" spans="1:5" x14ac:dyDescent="0.3">
      <c r="D32" s="3" t="s">
        <v>14</v>
      </c>
      <c r="E32">
        <v>-2213602.0699999998</v>
      </c>
    </row>
    <row r="33" spans="4:5" x14ac:dyDescent="0.3">
      <c r="D33" s="3" t="s">
        <v>15</v>
      </c>
      <c r="E33">
        <v>-3769664.98</v>
      </c>
    </row>
    <row r="34" spans="4:5" x14ac:dyDescent="0.3">
      <c r="D34" s="3" t="s">
        <v>16</v>
      </c>
      <c r="E34">
        <v>-1703944.47</v>
      </c>
    </row>
    <row r="35" spans="4:5" x14ac:dyDescent="0.3">
      <c r="D35" s="3" t="s">
        <v>17</v>
      </c>
      <c r="E35">
        <v>0</v>
      </c>
    </row>
    <row r="36" spans="4:5" x14ac:dyDescent="0.3">
      <c r="D36" s="3" t="s">
        <v>18</v>
      </c>
      <c r="E36">
        <v>131471.44</v>
      </c>
    </row>
    <row r="37" spans="4:5" x14ac:dyDescent="0.3">
      <c r="D37" s="3" t="s">
        <v>19</v>
      </c>
      <c r="E37">
        <v>-7402057.25</v>
      </c>
    </row>
    <row r="38" spans="4:5" x14ac:dyDescent="0.3">
      <c r="D38" s="3" t="s">
        <v>20</v>
      </c>
      <c r="E38">
        <v>-1233694.73</v>
      </c>
    </row>
    <row r="39" spans="4:5" x14ac:dyDescent="0.3">
      <c r="D39" s="3" t="s">
        <v>21</v>
      </c>
      <c r="E39">
        <v>107553.39</v>
      </c>
    </row>
    <row r="40" spans="4:5" x14ac:dyDescent="0.3">
      <c r="D40" s="3" t="s">
        <v>22</v>
      </c>
      <c r="E40">
        <v>-3697588.64</v>
      </c>
    </row>
    <row r="41" spans="4:5" x14ac:dyDescent="0.3">
      <c r="D41" s="3" t="s">
        <v>23</v>
      </c>
      <c r="E41">
        <v>20046.16</v>
      </c>
    </row>
    <row r="42" spans="4:5" x14ac:dyDescent="0.3">
      <c r="D42" s="3" t="s">
        <v>24</v>
      </c>
      <c r="E42">
        <v>-4720685.49</v>
      </c>
    </row>
    <row r="43" spans="4:5" x14ac:dyDescent="0.3">
      <c r="D43" s="3" t="s">
        <v>25</v>
      </c>
      <c r="E43">
        <v>0</v>
      </c>
    </row>
    <row r="44" spans="4:5" x14ac:dyDescent="0.3">
      <c r="D44" s="3" t="s">
        <v>26</v>
      </c>
      <c r="E44">
        <v>-2239682.39</v>
      </c>
    </row>
    <row r="45" spans="4:5" x14ac:dyDescent="0.3">
      <c r="D45" s="3" t="s">
        <v>27</v>
      </c>
      <c r="E45">
        <v>-439825.54</v>
      </c>
    </row>
    <row r="46" spans="4:5" x14ac:dyDescent="0.3">
      <c r="D46" s="3" t="s">
        <v>28</v>
      </c>
      <c r="E46">
        <v>-2954182.3</v>
      </c>
    </row>
    <row r="47" spans="4:5" x14ac:dyDescent="0.3">
      <c r="D47" s="3" t="s">
        <v>29</v>
      </c>
      <c r="E47">
        <v>-3427194.21</v>
      </c>
    </row>
    <row r="48" spans="4:5" x14ac:dyDescent="0.3">
      <c r="D48" s="3" t="s">
        <v>30</v>
      </c>
      <c r="E48">
        <v>1918.17</v>
      </c>
    </row>
    <row r="49" spans="4:5" x14ac:dyDescent="0.3">
      <c r="D49" s="3" t="s">
        <v>31</v>
      </c>
      <c r="E49">
        <v>33122.930000000058</v>
      </c>
    </row>
    <row r="50" spans="4:5" x14ac:dyDescent="0.3">
      <c r="D50" s="3" t="s">
        <v>32</v>
      </c>
      <c r="E50">
        <v>-603281.47</v>
      </c>
    </row>
    <row r="51" spans="4:5" x14ac:dyDescent="0.3">
      <c r="D51" s="3" t="s">
        <v>33</v>
      </c>
      <c r="E51">
        <v>17596.91</v>
      </c>
    </row>
    <row r="52" spans="4:5" x14ac:dyDescent="0.3">
      <c r="D52" s="3" t="s">
        <v>35</v>
      </c>
      <c r="E52">
        <v>-13277531.050000001</v>
      </c>
    </row>
    <row r="53" spans="4:5" x14ac:dyDescent="0.3">
      <c r="D53" s="3" t="s">
        <v>34</v>
      </c>
      <c r="E53">
        <v>-296640031.97000003</v>
      </c>
    </row>
    <row r="54" spans="4:5" x14ac:dyDescent="0.3">
      <c r="D54" s="3" t="s">
        <v>48</v>
      </c>
      <c r="E54">
        <v>-344671186.22000003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="65" zoomScaleNormal="65" workbookViewId="0">
      <selection activeCell="D29" sqref="D29"/>
    </sheetView>
  </sheetViews>
  <sheetFormatPr defaultRowHeight="14.4" x14ac:dyDescent="0.3"/>
  <cols>
    <col min="1" max="1" width="18.88671875" bestFit="1" customWidth="1"/>
    <col min="2" max="2" width="29" bestFit="1" customWidth="1"/>
    <col min="3" max="4" width="25.21875" customWidth="1"/>
    <col min="5" max="5" width="27.5546875" customWidth="1"/>
  </cols>
  <sheetData>
    <row r="1" spans="1:5" x14ac:dyDescent="0.3">
      <c r="A1" s="1" t="s">
        <v>36</v>
      </c>
      <c r="B1" s="1" t="s">
        <v>2</v>
      </c>
      <c r="C1" s="1" t="s">
        <v>3</v>
      </c>
      <c r="D1" s="1" t="s">
        <v>4</v>
      </c>
    </row>
    <row r="2" spans="1:5" x14ac:dyDescent="0.3">
      <c r="A2" t="s">
        <v>37</v>
      </c>
      <c r="B2">
        <v>-71126790.249400005</v>
      </c>
      <c r="C2">
        <v>-83921272.340000004</v>
      </c>
      <c r="D2">
        <v>-12794482.090600001</v>
      </c>
    </row>
    <row r="3" spans="1:5" x14ac:dyDescent="0.3">
      <c r="A3" t="s">
        <v>38</v>
      </c>
      <c r="B3">
        <v>-52870678.723099999</v>
      </c>
      <c r="C3">
        <v>-61806146.009999998</v>
      </c>
      <c r="D3">
        <v>-8935467.2869000006</v>
      </c>
    </row>
    <row r="4" spans="1:5" x14ac:dyDescent="0.3">
      <c r="A4" t="s">
        <v>39</v>
      </c>
      <c r="B4">
        <v>-184080610.52630001</v>
      </c>
      <c r="C4">
        <v>-175879038.46000001</v>
      </c>
      <c r="D4">
        <v>8201572.0663000001</v>
      </c>
    </row>
    <row r="5" spans="1:5" x14ac:dyDescent="0.3">
      <c r="A5" t="s">
        <v>40</v>
      </c>
      <c r="B5">
        <v>-25943859.774099998</v>
      </c>
      <c r="C5">
        <v>-20559022.940000001</v>
      </c>
      <c r="D5">
        <v>5384836.8340999996</v>
      </c>
    </row>
    <row r="6" spans="1:5" x14ac:dyDescent="0.3">
      <c r="A6" t="s">
        <v>41</v>
      </c>
      <c r="B6">
        <v>-789299.67139999999</v>
      </c>
      <c r="C6">
        <v>-2505706.4699999969</v>
      </c>
      <c r="D6">
        <v>-1716406.7985999971</v>
      </c>
    </row>
    <row r="16" spans="1:5" x14ac:dyDescent="0.3">
      <c r="D16" s="2" t="s">
        <v>49</v>
      </c>
      <c r="E16" s="5" t="s">
        <v>47</v>
      </c>
    </row>
    <row r="17" spans="4:5" x14ac:dyDescent="0.3">
      <c r="D17" s="3" t="s">
        <v>37</v>
      </c>
      <c r="E17">
        <v>-83921272.340000004</v>
      </c>
    </row>
    <row r="18" spans="4:5" x14ac:dyDescent="0.3">
      <c r="D18" s="3" t="s">
        <v>38</v>
      </c>
      <c r="E18">
        <v>-61806146.009999998</v>
      </c>
    </row>
    <row r="19" spans="4:5" x14ac:dyDescent="0.3">
      <c r="D19" s="3" t="s">
        <v>39</v>
      </c>
      <c r="E19">
        <v>-175879038.46000001</v>
      </c>
    </row>
    <row r="20" spans="4:5" x14ac:dyDescent="0.3">
      <c r="D20" s="3" t="s">
        <v>40</v>
      </c>
      <c r="E20">
        <v>-20559022.940000001</v>
      </c>
    </row>
    <row r="21" spans="4:5" x14ac:dyDescent="0.3">
      <c r="D21" s="3" t="s">
        <v>41</v>
      </c>
      <c r="E21">
        <v>-2505706.4699999969</v>
      </c>
    </row>
    <row r="22" spans="4:5" x14ac:dyDescent="0.3">
      <c r="D22" s="3" t="s">
        <v>48</v>
      </c>
      <c r="E22">
        <v>-344671186.21999997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tabSelected="1" topLeftCell="C1" zoomScale="59" zoomScaleNormal="59" workbookViewId="0">
      <selection activeCell="J30" sqref="J30"/>
    </sheetView>
  </sheetViews>
  <sheetFormatPr defaultRowHeight="14.4" x14ac:dyDescent="0.3"/>
  <cols>
    <col min="1" max="1" width="12.5546875" bestFit="1" customWidth="1"/>
    <col min="2" max="2" width="29" bestFit="1" customWidth="1"/>
    <col min="3" max="3" width="25.6640625" customWidth="1"/>
    <col min="4" max="4" width="26.5546875" customWidth="1"/>
    <col min="9" max="9" width="20.21875" customWidth="1"/>
    <col min="10" max="10" width="40.33203125" customWidth="1"/>
  </cols>
  <sheetData>
    <row r="1" spans="1:4" x14ac:dyDescent="0.3">
      <c r="A1" s="1" t="s">
        <v>42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43</v>
      </c>
      <c r="B2">
        <v>-101276794.8073</v>
      </c>
      <c r="C2">
        <v>-96276631.400000006</v>
      </c>
      <c r="D2">
        <v>5000163.4072999991</v>
      </c>
    </row>
    <row r="3" spans="1:4" x14ac:dyDescent="0.3">
      <c r="A3" t="s">
        <v>44</v>
      </c>
      <c r="B3">
        <v>-17608864.479699999</v>
      </c>
      <c r="C3">
        <v>-22197393.899999999</v>
      </c>
      <c r="D3">
        <v>-4588529.4203000003</v>
      </c>
    </row>
    <row r="4" spans="1:4" x14ac:dyDescent="0.3">
      <c r="A4" t="s">
        <v>45</v>
      </c>
      <c r="B4">
        <v>-114424347.0314</v>
      </c>
      <c r="C4">
        <v>-120388404.78</v>
      </c>
      <c r="D4">
        <v>-5964057.7486000024</v>
      </c>
    </row>
    <row r="5" spans="1:4" x14ac:dyDescent="0.3">
      <c r="A5" t="s">
        <v>46</v>
      </c>
      <c r="B5">
        <v>-19411108.239500001</v>
      </c>
      <c r="C5">
        <v>-18895741.530000001</v>
      </c>
      <c r="D5">
        <v>515366.70950000017</v>
      </c>
    </row>
    <row r="6" spans="1:4" x14ac:dyDescent="0.3">
      <c r="A6" t="s">
        <v>7</v>
      </c>
      <c r="B6">
        <v>-82090124.386399999</v>
      </c>
      <c r="C6">
        <v>-86913014.609999999</v>
      </c>
      <c r="D6">
        <v>-4822890.2235999918</v>
      </c>
    </row>
    <row r="20" spans="9:10" x14ac:dyDescent="0.3">
      <c r="I20" s="2" t="s">
        <v>50</v>
      </c>
      <c r="J20" t="s">
        <v>47</v>
      </c>
    </row>
    <row r="21" spans="9:10" x14ac:dyDescent="0.3">
      <c r="I21" s="3" t="s">
        <v>43</v>
      </c>
      <c r="J21">
        <v>-96276631.400000006</v>
      </c>
    </row>
    <row r="22" spans="9:10" x14ac:dyDescent="0.3">
      <c r="I22" s="3" t="s">
        <v>44</v>
      </c>
      <c r="J22">
        <v>-22197393.899999999</v>
      </c>
    </row>
    <row r="23" spans="9:10" x14ac:dyDescent="0.3">
      <c r="I23" s="3" t="s">
        <v>45</v>
      </c>
      <c r="J23">
        <v>-120388404.78</v>
      </c>
    </row>
    <row r="24" spans="9:10" x14ac:dyDescent="0.3">
      <c r="I24" s="3" t="s">
        <v>46</v>
      </c>
      <c r="J24">
        <v>-18895741.530000001</v>
      </c>
    </row>
    <row r="25" spans="9:10" x14ac:dyDescent="0.3">
      <c r="I25" s="3" t="s">
        <v>7</v>
      </c>
      <c r="J25">
        <v>-86913014.609999999</v>
      </c>
    </row>
    <row r="26" spans="9:10" x14ac:dyDescent="0.3">
      <c r="I26" s="3" t="s">
        <v>48</v>
      </c>
      <c r="J26">
        <v>-344671186.22000003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Variance_by_Month_Business</vt:lpstr>
      <vt:lpstr>Variance_by_Country</vt:lpstr>
      <vt:lpstr>Variance_by_Cost_Element_Group</vt:lpstr>
      <vt:lpstr>Variance_by_IT_Area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Parthiban T</cp:lastModifiedBy>
  <dcterms:created xsi:type="dcterms:W3CDTF">2026-05-29T16:51:34Z</dcterms:created>
  <dcterms:modified xsi:type="dcterms:W3CDTF">2026-06-18T06:48:51Z</dcterms:modified>
</cp:coreProperties>
</file>